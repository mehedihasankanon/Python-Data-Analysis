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fi\Documents\Excel Files\"/>
    </mc:Choice>
  </mc:AlternateContent>
  <xr:revisionPtr revIDLastSave="0" documentId="13_ncr:1_{493D551A-CA5C-4AD3-BCC8-6D6B8B8D376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ravel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23" i="1"/>
  <c r="K24" i="1"/>
  <c r="K20" i="1"/>
  <c r="J24" i="1"/>
  <c r="I24" i="1"/>
  <c r="J23" i="1"/>
  <c r="I23" i="1"/>
  <c r="J22" i="1"/>
  <c r="I22" i="1"/>
  <c r="J21" i="1"/>
  <c r="J20" i="1"/>
  <c r="I20" i="1"/>
  <c r="I21" i="1"/>
  <c r="F25" i="1"/>
</calcChain>
</file>

<file path=xl/sharedStrings.xml><?xml version="1.0" encoding="utf-8"?>
<sst xmlns="http://schemas.openxmlformats.org/spreadsheetml/2006/main" count="107" uniqueCount="42">
  <si>
    <t>Serial</t>
  </si>
  <si>
    <t>Date</t>
  </si>
  <si>
    <t>From</t>
  </si>
  <si>
    <t>To</t>
  </si>
  <si>
    <t>Medium</t>
  </si>
  <si>
    <t>Cost</t>
  </si>
  <si>
    <t>27 Aug 2024</t>
  </si>
  <si>
    <t>Ctg</t>
  </si>
  <si>
    <t>Dhaka</t>
  </si>
  <si>
    <t>(Bus)</t>
  </si>
  <si>
    <t>17 Oct 2024</t>
  </si>
  <si>
    <t>(Train)</t>
  </si>
  <si>
    <t>3 Feb 2025</t>
  </si>
  <si>
    <t>10 Apr 2025</t>
  </si>
  <si>
    <t>12 Jun 2025</t>
  </si>
  <si>
    <t>14 Aug 2025</t>
  </si>
  <si>
    <t>8 Oct 2025</t>
  </si>
  <si>
    <t>27 Nov 2025</t>
  </si>
  <si>
    <t>2 Jan 2026</t>
  </si>
  <si>
    <t>15 Feb 2026</t>
  </si>
  <si>
    <t>27 Mar 2026</t>
  </si>
  <si>
    <t>17 Jun 2026</t>
  </si>
  <si>
    <t>5 Oct 2024</t>
  </si>
  <si>
    <t>18 Dec 2024</t>
  </si>
  <si>
    <t>6 Mar 2025</t>
  </si>
  <si>
    <t>29 May 2025</t>
  </si>
  <si>
    <t>31 Jul 2025</t>
  </si>
  <si>
    <t>14 Sep 2025</t>
  </si>
  <si>
    <t>9 Nov 2025</t>
  </si>
  <si>
    <t>22 Dec 2025</t>
  </si>
  <si>
    <t>4 Feb 2026</t>
  </si>
  <si>
    <t>9 Mar 2026</t>
  </si>
  <si>
    <t>19 May 2026</t>
  </si>
  <si>
    <t>Total</t>
  </si>
  <si>
    <t>Ctg to Dhaka</t>
  </si>
  <si>
    <t>Train Count</t>
  </si>
  <si>
    <t>Bus Count</t>
  </si>
  <si>
    <t>Train Cost</t>
  </si>
  <si>
    <t>Bus Cost</t>
  </si>
  <si>
    <t>Dhaka to Ctg</t>
  </si>
  <si>
    <t>Events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</si>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</sst>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6" zoomScaleNormal="114" workbookViewId="0">
      <selection activeCell="G6" sqref="G6"/>
    </sheetView>
  </sheetViews>
  <sheetFormatPr defaultRowHeight="14.5" x14ac:dyDescent="0.35"/>
  <cols>
    <col min="1" max="6" width="18" style="1" customWidth="1"/>
    <col min="7" max="7" width="11.26953125" customWidth="1"/>
    <col min="8" max="8" width="17.453125" style="1" customWidth="1"/>
    <col min="9" max="9" width="12.453125" style="1" customWidth="1"/>
    <col min="10" max="10" width="12.6328125" style="1" customWidth="1"/>
    <col min="11" max="11" width="11.26953125" style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1100</v>
      </c>
    </row>
    <row r="3" spans="1:7" x14ac:dyDescent="0.35">
      <c r="A3" s="1">
        <v>2</v>
      </c>
      <c r="B3" s="1" t="s">
        <v>22</v>
      </c>
      <c r="C3" s="1" t="s">
        <v>8</v>
      </c>
      <c r="D3" s="1" t="s">
        <v>7</v>
      </c>
      <c r="E3" s="1" t="s">
        <v>11</v>
      </c>
      <c r="F3" s="1">
        <v>875</v>
      </c>
    </row>
    <row r="4" spans="1:7" x14ac:dyDescent="0.35">
      <c r="A4" s="1">
        <v>3</v>
      </c>
      <c r="B4" s="1" t="s">
        <v>10</v>
      </c>
      <c r="C4" s="1" t="s">
        <v>7</v>
      </c>
      <c r="D4" s="1" t="s">
        <v>8</v>
      </c>
      <c r="E4" s="1" t="s">
        <v>11</v>
      </c>
      <c r="F4" s="1">
        <v>875</v>
      </c>
      <c r="G4" s="1"/>
    </row>
    <row r="5" spans="1:7" x14ac:dyDescent="0.35">
      <c r="A5" s="1">
        <v>4</v>
      </c>
      <c r="B5" s="1" t="s">
        <v>23</v>
      </c>
      <c r="C5" s="1" t="s">
        <v>8</v>
      </c>
      <c r="D5" s="1" t="s">
        <v>7</v>
      </c>
      <c r="E5" s="1" t="s">
        <v>9</v>
      </c>
      <c r="F5" s="1">
        <v>700</v>
      </c>
    </row>
    <row r="6" spans="1:7" x14ac:dyDescent="0.35">
      <c r="A6" s="1">
        <v>5</v>
      </c>
      <c r="B6" s="1" t="s">
        <v>12</v>
      </c>
      <c r="C6" s="1" t="s">
        <v>7</v>
      </c>
      <c r="D6" s="1" t="s">
        <v>8</v>
      </c>
      <c r="E6" s="1" t="s">
        <v>11</v>
      </c>
      <c r="F6" s="1">
        <v>875</v>
      </c>
    </row>
    <row r="7" spans="1:7" x14ac:dyDescent="0.35">
      <c r="A7" s="1">
        <v>6</v>
      </c>
      <c r="B7" s="1" t="s">
        <v>24</v>
      </c>
      <c r="C7" s="1" t="s">
        <v>8</v>
      </c>
      <c r="D7" s="1" t="s">
        <v>7</v>
      </c>
      <c r="E7" s="1" t="s">
        <v>11</v>
      </c>
      <c r="F7" s="1">
        <v>875</v>
      </c>
    </row>
    <row r="8" spans="1:7" x14ac:dyDescent="0.35">
      <c r="A8" s="1">
        <v>7</v>
      </c>
      <c r="B8" s="1" t="s">
        <v>13</v>
      </c>
      <c r="C8" s="1" t="s">
        <v>7</v>
      </c>
      <c r="D8" s="1" t="s">
        <v>8</v>
      </c>
      <c r="E8" s="1" t="s">
        <v>11</v>
      </c>
      <c r="F8" s="1">
        <v>875</v>
      </c>
    </row>
    <row r="9" spans="1:7" x14ac:dyDescent="0.35">
      <c r="A9" s="1">
        <v>8</v>
      </c>
      <c r="B9" s="1" t="s">
        <v>25</v>
      </c>
      <c r="C9" s="1" t="s">
        <v>8</v>
      </c>
      <c r="D9" s="1" t="s">
        <v>7</v>
      </c>
      <c r="E9" s="1" t="s">
        <v>11</v>
      </c>
      <c r="F9" s="1">
        <v>875</v>
      </c>
    </row>
    <row r="10" spans="1:7" x14ac:dyDescent="0.35">
      <c r="A10" s="1">
        <v>9</v>
      </c>
      <c r="B10" s="1" t="s">
        <v>14</v>
      </c>
      <c r="C10" s="1" t="s">
        <v>7</v>
      </c>
      <c r="D10" s="1" t="s">
        <v>8</v>
      </c>
      <c r="E10" s="1" t="s">
        <v>9</v>
      </c>
      <c r="F10" s="1">
        <v>700</v>
      </c>
    </row>
    <row r="11" spans="1:7" x14ac:dyDescent="0.35">
      <c r="A11" s="1">
        <v>10</v>
      </c>
      <c r="B11" s="1" t="s">
        <v>26</v>
      </c>
      <c r="C11" s="1" t="s">
        <v>8</v>
      </c>
      <c r="D11" s="1" t="s">
        <v>7</v>
      </c>
      <c r="E11" s="1" t="s">
        <v>9</v>
      </c>
      <c r="F11" s="1">
        <v>700</v>
      </c>
    </row>
    <row r="12" spans="1:7" x14ac:dyDescent="0.35">
      <c r="A12" s="1">
        <v>11</v>
      </c>
      <c r="B12" s="1" t="s">
        <v>15</v>
      </c>
      <c r="C12" s="1" t="s">
        <v>7</v>
      </c>
      <c r="D12" s="1" t="s">
        <v>8</v>
      </c>
      <c r="E12" s="1" t="s">
        <v>11</v>
      </c>
      <c r="F12" s="1">
        <v>1050</v>
      </c>
    </row>
    <row r="13" spans="1:7" x14ac:dyDescent="0.35">
      <c r="A13" s="1">
        <v>12</v>
      </c>
      <c r="B13" s="1" t="s">
        <v>27</v>
      </c>
      <c r="C13" s="1" t="s">
        <v>8</v>
      </c>
      <c r="D13" s="1" t="s">
        <v>7</v>
      </c>
      <c r="E13" s="1" t="s">
        <v>11</v>
      </c>
      <c r="F13" s="1">
        <v>875</v>
      </c>
    </row>
    <row r="14" spans="1:7" x14ac:dyDescent="0.35">
      <c r="A14" s="1">
        <v>13</v>
      </c>
      <c r="B14" s="1" t="s">
        <v>16</v>
      </c>
      <c r="C14" s="1" t="s">
        <v>7</v>
      </c>
      <c r="D14" s="1" t="s">
        <v>8</v>
      </c>
      <c r="E14" s="1" t="s">
        <v>9</v>
      </c>
      <c r="F14" s="1">
        <v>700</v>
      </c>
    </row>
    <row r="15" spans="1:7" x14ac:dyDescent="0.35">
      <c r="A15" s="1">
        <v>14</v>
      </c>
      <c r="B15" s="1" t="s">
        <v>28</v>
      </c>
      <c r="C15" s="1" t="s">
        <v>8</v>
      </c>
      <c r="D15" s="1" t="s">
        <v>7</v>
      </c>
      <c r="E15" s="1" t="s">
        <v>11</v>
      </c>
      <c r="F15" s="1">
        <v>875</v>
      </c>
    </row>
    <row r="16" spans="1:7" x14ac:dyDescent="0.35">
      <c r="A16" s="1">
        <v>15</v>
      </c>
      <c r="B16" s="1" t="s">
        <v>17</v>
      </c>
      <c r="C16" s="1" t="s">
        <v>7</v>
      </c>
      <c r="D16" s="1" t="s">
        <v>8</v>
      </c>
      <c r="E16" s="1" t="s">
        <v>9</v>
      </c>
      <c r="F16" s="1">
        <v>700</v>
      </c>
    </row>
    <row r="17" spans="1:11" x14ac:dyDescent="0.35">
      <c r="A17" s="1">
        <v>16</v>
      </c>
      <c r="B17" s="1" t="s">
        <v>29</v>
      </c>
      <c r="C17" s="1" t="s">
        <v>8</v>
      </c>
      <c r="D17" s="1" t="s">
        <v>7</v>
      </c>
      <c r="E17" s="1" t="s">
        <v>9</v>
      </c>
      <c r="F17" s="1">
        <v>700</v>
      </c>
    </row>
    <row r="18" spans="1:11" x14ac:dyDescent="0.35">
      <c r="A18" s="1">
        <v>17</v>
      </c>
      <c r="B18" s="1" t="s">
        <v>18</v>
      </c>
      <c r="C18" s="1" t="s">
        <v>7</v>
      </c>
      <c r="D18" s="1" t="s">
        <v>8</v>
      </c>
      <c r="E18" s="1" t="s">
        <v>9</v>
      </c>
      <c r="F18" s="1">
        <v>700</v>
      </c>
    </row>
    <row r="19" spans="1:11" x14ac:dyDescent="0.35">
      <c r="A19" s="1">
        <v>18</v>
      </c>
      <c r="B19" s="1" t="s">
        <v>30</v>
      </c>
      <c r="C19" s="1" t="s">
        <v>8</v>
      </c>
      <c r="D19" s="1" t="s">
        <v>7</v>
      </c>
      <c r="E19" s="1" t="s">
        <v>9</v>
      </c>
      <c r="F19" s="1">
        <v>700</v>
      </c>
      <c r="H19" s="2" t="s">
        <v>40</v>
      </c>
      <c r="I19" s="2" t="s">
        <v>34</v>
      </c>
      <c r="J19" s="2" t="s">
        <v>39</v>
      </c>
      <c r="K19" s="2" t="s">
        <v>33</v>
      </c>
    </row>
    <row r="20" spans="1:11" x14ac:dyDescent="0.35">
      <c r="A20" s="1">
        <v>19</v>
      </c>
      <c r="B20" s="1" t="s">
        <v>19</v>
      </c>
      <c r="C20" s="1" t="s">
        <v>7</v>
      </c>
      <c r="D20" s="1" t="s">
        <v>8</v>
      </c>
      <c r="E20" s="1" t="s">
        <v>9</v>
      </c>
      <c r="F20" s="1">
        <v>700</v>
      </c>
      <c r="H20" s="1" t="s">
        <v>35</v>
      </c>
      <c r="I20" s="1">
        <f>COUNTIFS(C:C, "Ctg", E:E, "(Train)")</f>
        <v>5</v>
      </c>
      <c r="J20" s="1">
        <f>COUNTIFS(C:C, "Dhaka", E:E, "(Train)")</f>
        <v>7</v>
      </c>
      <c r="K20" s="1">
        <f>SUM(I20:J20)</f>
        <v>12</v>
      </c>
    </row>
    <row r="21" spans="1:11" x14ac:dyDescent="0.35">
      <c r="A21" s="1">
        <v>20</v>
      </c>
      <c r="B21" s="1" t="s">
        <v>31</v>
      </c>
      <c r="C21" s="1" t="s">
        <v>8</v>
      </c>
      <c r="D21" s="1" t="s">
        <v>7</v>
      </c>
      <c r="E21" s="1" t="s">
        <v>11</v>
      </c>
      <c r="F21" s="1">
        <v>875</v>
      </c>
      <c r="H21" s="1" t="s">
        <v>36</v>
      </c>
      <c r="I21" s="1">
        <f>COUNTIFS(C:C, "Ctg", E:E, "(Bus)")</f>
        <v>7</v>
      </c>
      <c r="J21" s="1">
        <f>COUNTIFS(C:C, "Dhaka", E:E, "(Bus)")</f>
        <v>4</v>
      </c>
      <c r="K21" s="1">
        <f t="shared" ref="K21:K24" si="0">SUM(I21:J21)</f>
        <v>11</v>
      </c>
    </row>
    <row r="22" spans="1:11" x14ac:dyDescent="0.35">
      <c r="A22" s="1">
        <v>21</v>
      </c>
      <c r="B22" s="1" t="s">
        <v>20</v>
      </c>
      <c r="C22" s="1" t="s">
        <v>7</v>
      </c>
      <c r="D22" s="1" t="s">
        <v>8</v>
      </c>
      <c r="E22" s="1" t="s">
        <v>9</v>
      </c>
      <c r="F22" s="1">
        <v>700</v>
      </c>
      <c r="H22" s="1" t="s">
        <v>37</v>
      </c>
      <c r="I22" s="1">
        <f>SUMIFS(F:F, C:C, "Ctg", E:E, "(Train)")</f>
        <v>4195</v>
      </c>
      <c r="J22" s="1">
        <f>SUMIFS(F:F, C:C, "Dhaka", E:E, "(Train)")</f>
        <v>6125</v>
      </c>
      <c r="K22" s="1">
        <f t="shared" si="0"/>
        <v>10320</v>
      </c>
    </row>
    <row r="23" spans="1:11" x14ac:dyDescent="0.35">
      <c r="A23" s="1">
        <v>22</v>
      </c>
      <c r="B23" s="1" t="s">
        <v>32</v>
      </c>
      <c r="C23" s="1" t="s">
        <v>8</v>
      </c>
      <c r="D23" s="1" t="s">
        <v>7</v>
      </c>
      <c r="E23" s="1" t="s">
        <v>11</v>
      </c>
      <c r="F23" s="1">
        <v>875</v>
      </c>
      <c r="H23" s="1" t="s">
        <v>38</v>
      </c>
      <c r="I23" s="1">
        <f>SUMIFS(F:F, C:C, "Ctg", E:E, "(Bus)")</f>
        <v>5300</v>
      </c>
      <c r="J23" s="1">
        <f>SUMIFS(F:F, C:C, "Dhaka", E:E, "(Bus)")</f>
        <v>2800</v>
      </c>
      <c r="K23" s="1">
        <f t="shared" si="0"/>
        <v>8100</v>
      </c>
    </row>
    <row r="24" spans="1:11" x14ac:dyDescent="0.35">
      <c r="A24" s="1">
        <v>23</v>
      </c>
      <c r="B24" s="1" t="s">
        <v>21</v>
      </c>
      <c r="C24" s="1" t="s">
        <v>7</v>
      </c>
      <c r="D24" s="1" t="s">
        <v>8</v>
      </c>
      <c r="E24" s="1" t="s">
        <v>11</v>
      </c>
      <c r="F24" s="1">
        <v>520</v>
      </c>
      <c r="H24" s="1" t="s">
        <v>41</v>
      </c>
      <c r="I24" s="1">
        <f>SUMIF(C:C,"Ctg", F:F )</f>
        <v>9495</v>
      </c>
      <c r="J24" s="1">
        <f>SUMIF(C:C, "Dhaka", F:F)</f>
        <v>8925</v>
      </c>
      <c r="K24" s="1">
        <f t="shared" si="0"/>
        <v>18420</v>
      </c>
    </row>
    <row r="25" spans="1:11" x14ac:dyDescent="0.35">
      <c r="F25" s="1">
        <f>SUM(F2:F24)</f>
        <v>18420</v>
      </c>
    </row>
  </sheetData>
  <sortState xmlns:xlrd2="http://schemas.microsoft.com/office/spreadsheetml/2017/richdata2" ref="A2:F24">
    <sortCondition ref="A1:A24"/>
  </sortState>
  <conditionalFormatting sqref="A2:F24 H26:H27 H29:H31">
    <cfRule type="expression" dxfId="1" priority="1">
      <formula>MOD($A2,2)=1</formula>
    </cfRule>
  </conditionalFormatting>
  <conditionalFormatting sqref="H19:H24">
    <cfRule type="expression" dxfId="0" priority="3">
      <formula>MOD($A32,2)=1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2305069 - Md. Misbah Uddin Rafi</cp:lastModifiedBy>
  <dcterms:created xsi:type="dcterms:W3CDTF">2026-06-16T15:27:11Z</dcterms:created>
  <dcterms:modified xsi:type="dcterms:W3CDTF">2026-06-16T16:14:56Z</dcterms:modified>
</cp:coreProperties>
</file>